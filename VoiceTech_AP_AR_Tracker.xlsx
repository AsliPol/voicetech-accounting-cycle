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 - Accounts Payable" sheetId="1" state="visible" r:id="rId3"/>
    <sheet name="AR - Accounts Receivable" sheetId="2" state="visible" r:id="rId4"/>
    <sheet name="AP Fraud Contro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<sst xmlns="http://schemas.openxmlformats.org/spreadsheetml/2006/main" count="382" uniqueCount="222">
  <si>
    <t xml:space="preserve">VoiceTech Solutions Inc. — Accounts Payable Ledger (Q1 2026)</t>
  </si>
  <si>
    <t xml:space="preserve">Source: Simulated data — VoiceTech Solutions Inc. | Period: Jan–Mar 2026</t>
  </si>
  <si>
    <t xml:space="preserve">#</t>
  </si>
  <si>
    <t xml:space="preserve">Invoice Date</t>
  </si>
  <si>
    <t xml:space="preserve">Due Date</t>
  </si>
  <si>
    <t xml:space="preserve">Vendor</t>
  </si>
  <si>
    <t xml:space="preserve">Category</t>
  </si>
  <si>
    <t xml:space="preserve">Invoice #</t>
  </si>
  <si>
    <t xml:space="preserve">Amount (CAD)</t>
  </si>
  <si>
    <t xml:space="preserve">Status</t>
  </si>
  <si>
    <t xml:space="preserve">Payment Date</t>
  </si>
  <si>
    <t xml:space="preserve">Fraud Flag</t>
  </si>
  <si>
    <t xml:space="preserve">2026-01-05</t>
  </si>
  <si>
    <t xml:space="preserve">2026-02-04</t>
  </si>
  <si>
    <t xml:space="preserve">Adobe Systems</t>
  </si>
  <si>
    <t xml:space="preserve">Software Subscription</t>
  </si>
  <si>
    <t xml:space="preserve">INV-001</t>
  </si>
  <si>
    <t xml:space="preserve">Paid</t>
  </si>
  <si>
    <t xml:space="preserve">2026-02-01</t>
  </si>
  <si>
    <t xml:space="preserve">2026-01-08</t>
  </si>
  <si>
    <t xml:space="preserve">2026-02-07</t>
  </si>
  <si>
    <t xml:space="preserve">Zoom Communications</t>
  </si>
  <si>
    <t xml:space="preserve">INV-002</t>
  </si>
  <si>
    <t xml:space="preserve">2026-02-05</t>
  </si>
  <si>
    <t xml:space="preserve">2026-01-10</t>
  </si>
  <si>
    <t xml:space="preserve">2026-02-09</t>
  </si>
  <si>
    <t xml:space="preserve">Sarah Mitchell (VA)</t>
  </si>
  <si>
    <t xml:space="preserve">Voice Actor Fee</t>
  </si>
  <si>
    <t xml:space="preserve">INV-003</t>
  </si>
  <si>
    <t xml:space="preserve">2026-02-08</t>
  </si>
  <si>
    <t xml:space="preserve">2026-01-12</t>
  </si>
  <si>
    <t xml:space="preserve">2026-02-11</t>
  </si>
  <si>
    <t xml:space="preserve">Slack Technologies</t>
  </si>
  <si>
    <t xml:space="preserve">INV-004</t>
  </si>
  <si>
    <t xml:space="preserve">2026-02-10</t>
  </si>
  <si>
    <t xml:space="preserve">2026-01-15</t>
  </si>
  <si>
    <t xml:space="preserve">2026-02-14</t>
  </si>
  <si>
    <t xml:space="preserve">SoundBooth Studio</t>
  </si>
  <si>
    <t xml:space="preserve">Studio Rental</t>
  </si>
  <si>
    <t xml:space="preserve">INV-005</t>
  </si>
  <si>
    <t xml:space="preserve">2026-02-12</t>
  </si>
  <si>
    <t xml:space="preserve">2026-01-18</t>
  </si>
  <si>
    <t xml:space="preserve">2026-02-17</t>
  </si>
  <si>
    <t xml:space="preserve">James Cooper (VA)</t>
  </si>
  <si>
    <t xml:space="preserve">INV-006</t>
  </si>
  <si>
    <t xml:space="preserve">2026-02-15</t>
  </si>
  <si>
    <t xml:space="preserve">2026-01-20</t>
  </si>
  <si>
    <t xml:space="preserve">2026-02-19</t>
  </si>
  <si>
    <t xml:space="preserve">Digital Marketing Co.</t>
  </si>
  <si>
    <t xml:space="preserve">Marketing</t>
  </si>
  <si>
    <t xml:space="preserve">INV-007</t>
  </si>
  <si>
    <t xml:space="preserve">2026-02-18</t>
  </si>
  <si>
    <t xml:space="preserve">2026-01-22</t>
  </si>
  <si>
    <t xml:space="preserve">2026-02-21</t>
  </si>
  <si>
    <t xml:space="preserve">AWS Cloud Services</t>
  </si>
  <si>
    <t xml:space="preserve">Cloud Infrastructure</t>
  </si>
  <si>
    <t xml:space="preserve">INV-008</t>
  </si>
  <si>
    <t xml:space="preserve">2026-02-20</t>
  </si>
  <si>
    <t xml:space="preserve">2026-02-03</t>
  </si>
  <si>
    <t xml:space="preserve">2026-03-05</t>
  </si>
  <si>
    <t xml:space="preserve">INV-009</t>
  </si>
  <si>
    <t xml:space="preserve">2026-03-03</t>
  </si>
  <si>
    <t xml:space="preserve">2026-02-06</t>
  </si>
  <si>
    <t xml:space="preserve">2026-03-08</t>
  </si>
  <si>
    <t xml:space="preserve">Elena Vasquez (VA)</t>
  </si>
  <si>
    <t xml:space="preserve">INV-010</t>
  </si>
  <si>
    <t xml:space="preserve">2026-03-06</t>
  </si>
  <si>
    <t xml:space="preserve">2026-03-11</t>
  </si>
  <si>
    <t xml:space="preserve">INV-011</t>
  </si>
  <si>
    <t xml:space="preserve">2026-03-09</t>
  </si>
  <si>
    <t xml:space="preserve">2026-03-12</t>
  </si>
  <si>
    <t xml:space="preserve">INV-012</t>
  </si>
  <si>
    <t xml:space="preserve">2026-03-10</t>
  </si>
  <si>
    <t xml:space="preserve">2026-03-14</t>
  </si>
  <si>
    <t xml:space="preserve">INV-013</t>
  </si>
  <si>
    <t xml:space="preserve">2026-03-17</t>
  </si>
  <si>
    <t xml:space="preserve">Marcus Lee (VA)</t>
  </si>
  <si>
    <t xml:space="preserve">INV-014</t>
  </si>
  <si>
    <t xml:space="preserve">2026-03-15</t>
  </si>
  <si>
    <t xml:space="preserve">2026-03-20</t>
  </si>
  <si>
    <t xml:space="preserve">INV-015</t>
  </si>
  <si>
    <t xml:space="preserve">2026-03-18</t>
  </si>
  <si>
    <t xml:space="preserve">2026-03-22</t>
  </si>
  <si>
    <t xml:space="preserve">INV-016</t>
  </si>
  <si>
    <t xml:space="preserve">2026-03-02</t>
  </si>
  <si>
    <t xml:space="preserve">2026-04-01</t>
  </si>
  <si>
    <t xml:space="preserve">INV-017</t>
  </si>
  <si>
    <t xml:space="preserve">2026-03-30</t>
  </si>
  <si>
    <t xml:space="preserve">2026-04-04</t>
  </si>
  <si>
    <t xml:space="preserve">INV-018</t>
  </si>
  <si>
    <t xml:space="preserve">2026-04-02</t>
  </si>
  <si>
    <t xml:space="preserve">2026-04-07</t>
  </si>
  <si>
    <t xml:space="preserve">INV-019</t>
  </si>
  <si>
    <t xml:space="preserve">Pending</t>
  </si>
  <si>
    <t xml:space="preserve">2026-04-09</t>
  </si>
  <si>
    <t xml:space="preserve">INV-020</t>
  </si>
  <si>
    <t xml:space="preserve">2026-04-11</t>
  </si>
  <si>
    <t xml:space="preserve">INV-021</t>
  </si>
  <si>
    <t xml:space="preserve">2026-04-14</t>
  </si>
  <si>
    <t xml:space="preserve">INV-022</t>
  </si>
  <si>
    <t xml:space="preserve">2026-04-17</t>
  </si>
  <si>
    <t xml:space="preserve">INV-023</t>
  </si>
  <si>
    <t xml:space="preserve">2026-04-19</t>
  </si>
  <si>
    <t xml:space="preserve">INV-024</t>
  </si>
  <si>
    <t xml:space="preserve">2026-03-25</t>
  </si>
  <si>
    <t xml:space="preserve">2026-04-24</t>
  </si>
  <si>
    <t xml:space="preserve">INV-025</t>
  </si>
  <si>
    <t xml:space="preserve">TOTAL AP</t>
  </si>
  <si>
    <t xml:space="preserve">VoiceTech Solutions Inc. — Accounts Receivable Ledger (Q1 2026)</t>
  </si>
  <si>
    <t xml:space="preserve">Client</t>
  </si>
  <si>
    <t xml:space="preserve">Project</t>
  </si>
  <si>
    <t xml:space="preserve">Collected Date</t>
  </si>
  <si>
    <t xml:space="preserve">DSO (days)</t>
  </si>
  <si>
    <t xml:space="preserve">Aging Bucket</t>
  </si>
  <si>
    <t xml:space="preserve">2026-01-03</t>
  </si>
  <si>
    <t xml:space="preserve">2026-02-02</t>
  </si>
  <si>
    <t xml:space="preserve">Nexus Media Corp</t>
  </si>
  <si>
    <t xml:space="preserve">Brand Voice Campaign</t>
  </si>
  <si>
    <t xml:space="preserve">INV-AR001</t>
  </si>
  <si>
    <t xml:space="preserve">Collected</t>
  </si>
  <si>
    <t xml:space="preserve">2026-01-30</t>
  </si>
  <si>
    <t xml:space="preserve">2026-01-07</t>
  </si>
  <si>
    <t xml:space="preserve">SkyTech AI</t>
  </si>
  <si>
    <t xml:space="preserve">AI Voice Dataset</t>
  </si>
  <si>
    <t xml:space="preserve">INV-AR002</t>
  </si>
  <si>
    <t xml:space="preserve">Maple Films Ltd</t>
  </si>
  <si>
    <t xml:space="preserve">Documentary VO</t>
  </si>
  <si>
    <t xml:space="preserve">INV-AR003</t>
  </si>
  <si>
    <t xml:space="preserve">2026-01-14</t>
  </si>
  <si>
    <t xml:space="preserve">2026-02-13</t>
  </si>
  <si>
    <t xml:space="preserve">Global Ads Inc.</t>
  </si>
  <si>
    <t xml:space="preserve">Radio Commercial</t>
  </si>
  <si>
    <t xml:space="preserve">INV-AR004</t>
  </si>
  <si>
    <t xml:space="preserve">eLearning Hub</t>
  </si>
  <si>
    <t xml:space="preserve">Corporate Training</t>
  </si>
  <si>
    <t xml:space="preserve">INV-AR005</t>
  </si>
  <si>
    <t xml:space="preserve">BrightBrand Co.</t>
  </si>
  <si>
    <t xml:space="preserve">Podcast Series</t>
  </si>
  <si>
    <t xml:space="preserve">INV-AR006</t>
  </si>
  <si>
    <t xml:space="preserve">2026-03-04</t>
  </si>
  <si>
    <t xml:space="preserve">Product Launch VO</t>
  </si>
  <si>
    <t xml:space="preserve">INV-AR007</t>
  </si>
  <si>
    <t xml:space="preserve">2026-03-07</t>
  </si>
  <si>
    <t xml:space="preserve">Voice AI Model v2</t>
  </si>
  <si>
    <t xml:space="preserve">INV-AR008</t>
  </si>
  <si>
    <t xml:space="preserve">TV Commercial</t>
  </si>
  <si>
    <t xml:space="preserve">INV-AR009</t>
  </si>
  <si>
    <t xml:space="preserve">AudioPlex Studios</t>
  </si>
  <si>
    <t xml:space="preserve">Animation VO</t>
  </si>
  <si>
    <t xml:space="preserve">INV-AR010</t>
  </si>
  <si>
    <t xml:space="preserve">2026-02-16</t>
  </si>
  <si>
    <t xml:space="preserve">Digital Campaign</t>
  </si>
  <si>
    <t xml:space="preserve">INV-AR011</t>
  </si>
  <si>
    <t xml:space="preserve">2026-03-16</t>
  </si>
  <si>
    <t xml:space="preserve">2026-03-21</t>
  </si>
  <si>
    <t xml:space="preserve">Safety Training</t>
  </si>
  <si>
    <t xml:space="preserve">INV-AR012</t>
  </si>
  <si>
    <t xml:space="preserve">2026-03-19</t>
  </si>
  <si>
    <t xml:space="preserve">Q2 Brand VO</t>
  </si>
  <si>
    <t xml:space="preserve">INV-AR013</t>
  </si>
  <si>
    <t xml:space="preserve">Outstanding</t>
  </si>
  <si>
    <t xml:space="preserve">2026-04-05</t>
  </si>
  <si>
    <t xml:space="preserve">Voice Dataset Q2</t>
  </si>
  <si>
    <t xml:space="preserve">INV-AR014</t>
  </si>
  <si>
    <t xml:space="preserve">2026-04-08</t>
  </si>
  <si>
    <t xml:space="preserve">Explainer Videos</t>
  </si>
  <si>
    <t xml:space="preserve">INV-AR015</t>
  </si>
  <si>
    <t xml:space="preserve">Feature Film VO</t>
  </si>
  <si>
    <t xml:space="preserve">INV-AR016</t>
  </si>
  <si>
    <t xml:space="preserve">Series VO</t>
  </si>
  <si>
    <t xml:space="preserve">INV-AR017</t>
  </si>
  <si>
    <t xml:space="preserve">Q2 Campaign</t>
  </si>
  <si>
    <t xml:space="preserve">INV-AR018</t>
  </si>
  <si>
    <t xml:space="preserve">Overdue</t>
  </si>
  <si>
    <t xml:space="preserve">Leadership Course</t>
  </si>
  <si>
    <t xml:space="preserve">INV-AR019</t>
  </si>
  <si>
    <t xml:space="preserve">2026-04-21</t>
  </si>
  <si>
    <t xml:space="preserve">TrueNorth Brands</t>
  </si>
  <si>
    <t xml:space="preserve">Brand Identity VO</t>
  </si>
  <si>
    <t xml:space="preserve">INV-AR020</t>
  </si>
  <si>
    <t xml:space="preserve">Social Media VO</t>
  </si>
  <si>
    <t xml:space="preserve">INV-AR021</t>
  </si>
  <si>
    <t xml:space="preserve">2026-03-28</t>
  </si>
  <si>
    <t xml:space="preserve">2026-04-27</t>
  </si>
  <si>
    <t xml:space="preserve">Prototype Voice</t>
  </si>
  <si>
    <t xml:space="preserve">INV-AR022</t>
  </si>
  <si>
    <t xml:space="preserve">TOTAL AR</t>
  </si>
  <si>
    <t xml:space="preserve">VoiceTech Solutions Inc. — AP Fraud Control Dashboard</t>
  </si>
  <si>
    <t xml:space="preserve">CONTROL</t>
  </si>
  <si>
    <t xml:space="preserve">DESCRIPTION</t>
  </si>
  <si>
    <t xml:space="preserve">RULE</t>
  </si>
  <si>
    <t xml:space="preserve">STATUS</t>
  </si>
  <si>
    <t xml:space="preserve">RISK LEVEL</t>
  </si>
  <si>
    <t xml:space="preserve">ACTION</t>
  </si>
  <si>
    <t xml:space="preserve">Duplicate Invoice</t>
  </si>
  <si>
    <t xml:space="preserve">Same vendor + same amount within 30 days</t>
  </si>
  <si>
    <t xml:space="preserve">COUNTIFS check on Vendor + Amount</t>
  </si>
  <si>
    <t xml:space="preserve">Active</t>
  </si>
  <si>
    <t xml:space="preserve">HIGH</t>
  </si>
  <si>
    <t xml:space="preserve">Block payment</t>
  </si>
  <si>
    <t xml:space="preserve">Overpayment Check</t>
  </si>
  <si>
    <t xml:space="preserve">Payment exceeds invoice amount</t>
  </si>
  <si>
    <t xml:space="preserve">Payment &gt; Invoice Amount</t>
  </si>
  <si>
    <t xml:space="preserve">Escalate to Controller</t>
  </si>
  <si>
    <t xml:space="preserve">Missing Invoice #</t>
  </si>
  <si>
    <t xml:space="preserve">Gap in sequential invoice numbering</t>
  </si>
  <si>
    <t xml:space="preserve">Sequential check INV-001…025</t>
  </si>
  <si>
    <t xml:space="preserve">MEDIUM</t>
  </si>
  <si>
    <t xml:space="preserve">Request from vendor</t>
  </si>
  <si>
    <t xml:space="preserve">Vendor Not on List</t>
  </si>
  <si>
    <t xml:space="preserve">Invoice from unregistered vendor</t>
  </si>
  <si>
    <t xml:space="preserve">VLOOKUP against approved vendor list</t>
  </si>
  <si>
    <t xml:space="preserve">Hold payment</t>
  </si>
  <si>
    <t xml:space="preserve">Late Payment Flag</t>
  </si>
  <si>
    <t xml:space="preserve">Invoice overdue &gt; 30 days</t>
  </si>
  <si>
    <t xml:space="preserve">Due Date &lt; TODAY()-30</t>
  </si>
  <si>
    <t xml:space="preserve">LOW</t>
  </si>
  <si>
    <t xml:space="preserve">Send reminder</t>
  </si>
  <si>
    <t xml:space="preserve">Round Number Alert</t>
  </si>
  <si>
    <t xml:space="preserve">Invoice is suspiciously round number</t>
  </si>
  <si>
    <t xml:space="preserve">Amount MOD 1000 = 0</t>
  </si>
  <si>
    <t xml:space="preserve">Request documentation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</si>
</sst>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B3F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3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n">
        <v>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5" t="n">
        <v>1200</v>
      </c>
      <c r="H4" s="6" t="s">
        <v>17</v>
      </c>
      <c r="I4" s="4" t="s">
        <v>18</v>
      </c>
      <c r="J4" s="4" t="str">
        <f aca="false">IF(COUNTIFS($D$4:$D$28,D4,$G$4:$G$28,G4)&gt;1,"⚠ DUPLICATE CHECK","OK")</f>
        <v>⚠ DUPLICATE CHECK</v>
      </c>
    </row>
    <row r="5" customFormat="false" ht="15" hidden="false" customHeight="false" outlineLevel="0" collapsed="false">
      <c r="A5" s="7" t="n">
        <v>2</v>
      </c>
      <c r="B5" s="7" t="s">
        <v>19</v>
      </c>
      <c r="C5" s="7" t="s">
        <v>20</v>
      </c>
      <c r="D5" s="7" t="s">
        <v>21</v>
      </c>
      <c r="E5" s="7" t="s">
        <v>15</v>
      </c>
      <c r="F5" s="7" t="s">
        <v>22</v>
      </c>
      <c r="G5" s="8" t="n">
        <v>840</v>
      </c>
      <c r="H5" s="6" t="s">
        <v>17</v>
      </c>
      <c r="I5" s="7" t="s">
        <v>23</v>
      </c>
      <c r="J5" s="7" t="str">
        <f aca="false">IF(COUNTIFS($D$4:$D$28,D5,$G$4:$G$28,G5)&gt;1,"⚠ DUPLICATE CHECK","OK")</f>
        <v>⚠ DUPLICATE CHECK</v>
      </c>
    </row>
    <row r="6" customFormat="false" ht="15" hidden="false" customHeight="false" outlineLevel="0" collapsed="false">
      <c r="A6" s="4" t="n">
        <v>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5" t="n">
        <v>2500</v>
      </c>
      <c r="H6" s="6" t="s">
        <v>17</v>
      </c>
      <c r="I6" s="4" t="s">
        <v>29</v>
      </c>
      <c r="J6" s="4" t="str">
        <f aca="false">IF(COUNTIFS($D$4:$D$28,D6,$G$4:$G$28,G6)&gt;1,"⚠ DUPLICATE CHECK","OK")</f>
        <v>OK</v>
      </c>
    </row>
    <row r="7" customFormat="false" ht="15" hidden="false" customHeight="false" outlineLevel="0" collapsed="false">
      <c r="A7" s="7" t="n">
        <v>4</v>
      </c>
      <c r="B7" s="7" t="s">
        <v>30</v>
      </c>
      <c r="C7" s="7" t="s">
        <v>31</v>
      </c>
      <c r="D7" s="7" t="s">
        <v>32</v>
      </c>
      <c r="E7" s="7" t="s">
        <v>15</v>
      </c>
      <c r="F7" s="7" t="s">
        <v>33</v>
      </c>
      <c r="G7" s="8" t="n">
        <v>360</v>
      </c>
      <c r="H7" s="6" t="s">
        <v>17</v>
      </c>
      <c r="I7" s="7" t="s">
        <v>34</v>
      </c>
      <c r="J7" s="7" t="str">
        <f aca="false">IF(COUNTIFS($D$4:$D$28,D7,$G$4:$G$28,G7)&gt;1,"⚠ DUPLICATE CHECK","OK")</f>
        <v>⚠ DUPLICATE CHECK</v>
      </c>
    </row>
    <row r="8" customFormat="false" ht="15" hidden="false" customHeight="false" outlineLevel="0" collapsed="false">
      <c r="A8" s="4" t="n">
        <v>5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5" t="n">
        <v>1800</v>
      </c>
      <c r="H8" s="6" t="s">
        <v>17</v>
      </c>
      <c r="I8" s="4" t="s">
        <v>40</v>
      </c>
      <c r="J8" s="4" t="str">
        <f aca="false">IF(COUNTIFS($D$4:$D$28,D8,$G$4:$G$28,G8)&gt;1,"⚠ DUPLICATE CHECK","OK")</f>
        <v>OK</v>
      </c>
    </row>
    <row r="9" customFormat="false" ht="15" hidden="false" customHeight="false" outlineLevel="0" collapsed="false">
      <c r="A9" s="7" t="n">
        <v>6</v>
      </c>
      <c r="B9" s="7" t="s">
        <v>41</v>
      </c>
      <c r="C9" s="7" t="s">
        <v>42</v>
      </c>
      <c r="D9" s="7" t="s">
        <v>43</v>
      </c>
      <c r="E9" s="7" t="s">
        <v>27</v>
      </c>
      <c r="F9" s="7" t="s">
        <v>44</v>
      </c>
      <c r="G9" s="8" t="n">
        <v>3200</v>
      </c>
      <c r="H9" s="6" t="s">
        <v>17</v>
      </c>
      <c r="I9" s="7" t="s">
        <v>45</v>
      </c>
      <c r="J9" s="7" t="str">
        <f aca="false">IF(COUNTIFS($D$4:$D$28,D9,$G$4:$G$28,G9)&gt;1,"⚠ DUPLICATE CHECK","OK")</f>
        <v>OK</v>
      </c>
    </row>
    <row r="10" customFormat="false" ht="15" hidden="false" customHeight="false" outlineLevel="0" collapsed="false">
      <c r="A10" s="4" t="n">
        <v>7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5" t="n">
        <v>4500</v>
      </c>
      <c r="H10" s="6" t="s">
        <v>17</v>
      </c>
      <c r="I10" s="4" t="s">
        <v>51</v>
      </c>
      <c r="J10" s="4" t="str">
        <f aca="false">IF(COUNTIFS($D$4:$D$28,D10,$G$4:$G$28,G10)&gt;1,"⚠ DUPLICATE CHECK","OK")</f>
        <v>OK</v>
      </c>
    </row>
    <row r="11" customFormat="false" ht="15" hidden="false" customHeight="false" outlineLevel="0" collapsed="false">
      <c r="A11" s="7" t="n">
        <v>8</v>
      </c>
      <c r="B11" s="7" t="s">
        <v>52</v>
      </c>
      <c r="C11" s="7" t="s">
        <v>53</v>
      </c>
      <c r="D11" s="7" t="s">
        <v>54</v>
      </c>
      <c r="E11" s="7" t="s">
        <v>55</v>
      </c>
      <c r="F11" s="7" t="s">
        <v>56</v>
      </c>
      <c r="G11" s="8" t="n">
        <v>2100</v>
      </c>
      <c r="H11" s="6" t="s">
        <v>17</v>
      </c>
      <c r="I11" s="7" t="s">
        <v>57</v>
      </c>
      <c r="J11" s="7" t="str">
        <f aca="false">IF(COUNTIFS($D$4:$D$28,D11,$G$4:$G$28,G11)&gt;1,"⚠ DUPLICATE CHECK","OK")</f>
        <v>OK</v>
      </c>
    </row>
    <row r="12" customFormat="false" ht="15" hidden="false" customHeight="false" outlineLevel="0" collapsed="false">
      <c r="A12" s="4" t="n">
        <v>9</v>
      </c>
      <c r="B12" s="4" t="s">
        <v>58</v>
      </c>
      <c r="C12" s="4" t="s">
        <v>59</v>
      </c>
      <c r="D12" s="4" t="s">
        <v>14</v>
      </c>
      <c r="E12" s="4" t="s">
        <v>15</v>
      </c>
      <c r="F12" s="4" t="s">
        <v>60</v>
      </c>
      <c r="G12" s="5" t="n">
        <v>1200</v>
      </c>
      <c r="H12" s="6" t="s">
        <v>17</v>
      </c>
      <c r="I12" s="4" t="s">
        <v>61</v>
      </c>
      <c r="J12" s="4" t="str">
        <f aca="false">IF(COUNTIFS($D$4:$D$28,D12,$G$4:$G$28,G12)&gt;1,"⚠ DUPLICATE CHECK","OK")</f>
        <v>⚠ DUPLICATE CHECK</v>
      </c>
    </row>
    <row r="13" customFormat="false" ht="15" hidden="false" customHeight="false" outlineLevel="0" collapsed="false">
      <c r="A13" s="7" t="n">
        <v>10</v>
      </c>
      <c r="B13" s="7" t="s">
        <v>62</v>
      </c>
      <c r="C13" s="7" t="s">
        <v>63</v>
      </c>
      <c r="D13" s="7" t="s">
        <v>64</v>
      </c>
      <c r="E13" s="7" t="s">
        <v>27</v>
      </c>
      <c r="F13" s="7" t="s">
        <v>65</v>
      </c>
      <c r="G13" s="8" t="n">
        <v>2800</v>
      </c>
      <c r="H13" s="6" t="s">
        <v>17</v>
      </c>
      <c r="I13" s="7" t="s">
        <v>66</v>
      </c>
      <c r="J13" s="7" t="str">
        <f aca="false">IF(COUNTIFS($D$4:$D$28,D13,$G$4:$G$28,G13)&gt;1,"⚠ DUPLICATE CHECK","OK")</f>
        <v>⚠ DUPLICATE CHECK</v>
      </c>
    </row>
    <row r="14" customFormat="false" ht="15" hidden="false" customHeight="false" outlineLevel="0" collapsed="false">
      <c r="A14" s="4" t="n">
        <v>11</v>
      </c>
      <c r="B14" s="4" t="s">
        <v>25</v>
      </c>
      <c r="C14" s="4" t="s">
        <v>67</v>
      </c>
      <c r="D14" s="4" t="s">
        <v>21</v>
      </c>
      <c r="E14" s="4" t="s">
        <v>15</v>
      </c>
      <c r="F14" s="4" t="s">
        <v>68</v>
      </c>
      <c r="G14" s="5" t="n">
        <v>840</v>
      </c>
      <c r="H14" s="6" t="s">
        <v>17</v>
      </c>
      <c r="I14" s="4" t="s">
        <v>69</v>
      </c>
      <c r="J14" s="4" t="str">
        <f aca="false">IF(COUNTIFS($D$4:$D$28,D14,$G$4:$G$28,G14)&gt;1,"⚠ DUPLICATE CHECK","OK")</f>
        <v>⚠ DUPLICATE CHECK</v>
      </c>
    </row>
    <row r="15" customFormat="false" ht="15" hidden="false" customHeight="false" outlineLevel="0" collapsed="false">
      <c r="A15" s="7" t="n">
        <v>12</v>
      </c>
      <c r="B15" s="7" t="s">
        <v>34</v>
      </c>
      <c r="C15" s="7" t="s">
        <v>70</v>
      </c>
      <c r="D15" s="7" t="s">
        <v>14</v>
      </c>
      <c r="E15" s="7" t="s">
        <v>15</v>
      </c>
      <c r="F15" s="7" t="s">
        <v>71</v>
      </c>
      <c r="G15" s="8" t="n">
        <v>1200</v>
      </c>
      <c r="H15" s="6" t="s">
        <v>17</v>
      </c>
      <c r="I15" s="7" t="s">
        <v>72</v>
      </c>
      <c r="J15" s="7" t="str">
        <f aca="false">IF(COUNTIFS($D$4:$D$28,D15,$G$4:$G$28,G15)&gt;1,"⚠ DUPLICATE CHECK","OK")</f>
        <v>⚠ DUPLICATE CHECK</v>
      </c>
    </row>
    <row r="16" customFormat="false" ht="15" hidden="false" customHeight="false" outlineLevel="0" collapsed="false">
      <c r="A16" s="4" t="n">
        <v>13</v>
      </c>
      <c r="B16" s="4" t="s">
        <v>40</v>
      </c>
      <c r="C16" s="4" t="s">
        <v>73</v>
      </c>
      <c r="D16" s="4" t="s">
        <v>37</v>
      </c>
      <c r="E16" s="4" t="s">
        <v>38</v>
      </c>
      <c r="F16" s="4" t="s">
        <v>74</v>
      </c>
      <c r="G16" s="5" t="n">
        <v>2200</v>
      </c>
      <c r="H16" s="6" t="s">
        <v>17</v>
      </c>
      <c r="I16" s="4" t="s">
        <v>70</v>
      </c>
      <c r="J16" s="4" t="str">
        <f aca="false">IF(COUNTIFS($D$4:$D$28,D16,$G$4:$G$28,G16)&gt;1,"⚠ DUPLICATE CHECK","OK")</f>
        <v>OK</v>
      </c>
    </row>
    <row r="17" customFormat="false" ht="15" hidden="false" customHeight="false" outlineLevel="0" collapsed="false">
      <c r="A17" s="7" t="n">
        <v>14</v>
      </c>
      <c r="B17" s="7" t="s">
        <v>45</v>
      </c>
      <c r="C17" s="7" t="s">
        <v>75</v>
      </c>
      <c r="D17" s="7" t="s">
        <v>76</v>
      </c>
      <c r="E17" s="7" t="s">
        <v>27</v>
      </c>
      <c r="F17" s="7" t="s">
        <v>77</v>
      </c>
      <c r="G17" s="8" t="n">
        <v>1950</v>
      </c>
      <c r="H17" s="6" t="s">
        <v>17</v>
      </c>
      <c r="I17" s="7" t="s">
        <v>78</v>
      </c>
      <c r="J17" s="7" t="str">
        <f aca="false">IF(COUNTIFS($D$4:$D$28,D17,$G$4:$G$28,G17)&gt;1,"⚠ DUPLICATE CHECK","OK")</f>
        <v>OK</v>
      </c>
    </row>
    <row r="18" customFormat="false" ht="15" hidden="false" customHeight="false" outlineLevel="0" collapsed="false">
      <c r="A18" s="4" t="n">
        <v>15</v>
      </c>
      <c r="B18" s="4" t="s">
        <v>51</v>
      </c>
      <c r="C18" s="4" t="s">
        <v>79</v>
      </c>
      <c r="D18" s="4" t="s">
        <v>32</v>
      </c>
      <c r="E18" s="4" t="s">
        <v>15</v>
      </c>
      <c r="F18" s="4" t="s">
        <v>80</v>
      </c>
      <c r="G18" s="5" t="n">
        <v>360</v>
      </c>
      <c r="H18" s="6" t="s">
        <v>17</v>
      </c>
      <c r="I18" s="4" t="s">
        <v>81</v>
      </c>
      <c r="J18" s="4" t="str">
        <f aca="false">IF(COUNTIFS($D$4:$D$28,D18,$G$4:$G$28,G18)&gt;1,"⚠ DUPLICATE CHECK","OK")</f>
        <v>⚠ DUPLICATE CHECK</v>
      </c>
    </row>
    <row r="19" customFormat="false" ht="15" hidden="false" customHeight="false" outlineLevel="0" collapsed="false">
      <c r="A19" s="7" t="n">
        <v>16</v>
      </c>
      <c r="B19" s="7" t="s">
        <v>57</v>
      </c>
      <c r="C19" s="7" t="s">
        <v>82</v>
      </c>
      <c r="D19" s="7" t="s">
        <v>48</v>
      </c>
      <c r="E19" s="7" t="s">
        <v>49</v>
      </c>
      <c r="F19" s="7" t="s">
        <v>83</v>
      </c>
      <c r="G19" s="8" t="n">
        <v>3800</v>
      </c>
      <c r="H19" s="6" t="s">
        <v>17</v>
      </c>
      <c r="I19" s="7" t="s">
        <v>79</v>
      </c>
      <c r="J19" s="7" t="str">
        <f aca="false">IF(COUNTIFS($D$4:$D$28,D19,$G$4:$G$28,G19)&gt;1,"⚠ DUPLICATE CHECK","OK")</f>
        <v>OK</v>
      </c>
    </row>
    <row r="20" customFormat="false" ht="15" hidden="false" customHeight="false" outlineLevel="0" collapsed="false">
      <c r="A20" s="4" t="n">
        <v>17</v>
      </c>
      <c r="B20" s="4" t="s">
        <v>84</v>
      </c>
      <c r="C20" s="4" t="s">
        <v>85</v>
      </c>
      <c r="D20" s="4" t="s">
        <v>26</v>
      </c>
      <c r="E20" s="4" t="s">
        <v>27</v>
      </c>
      <c r="F20" s="4" t="s">
        <v>86</v>
      </c>
      <c r="G20" s="5" t="n">
        <v>2700</v>
      </c>
      <c r="H20" s="6" t="s">
        <v>17</v>
      </c>
      <c r="I20" s="4" t="s">
        <v>87</v>
      </c>
      <c r="J20" s="4" t="str">
        <f aca="false">IF(COUNTIFS($D$4:$D$28,D20,$G$4:$G$28,G20)&gt;1,"⚠ DUPLICATE CHECK","OK")</f>
        <v>OK</v>
      </c>
    </row>
    <row r="21" customFormat="false" ht="15" hidden="false" customHeight="false" outlineLevel="0" collapsed="false">
      <c r="A21" s="7" t="n">
        <v>18</v>
      </c>
      <c r="B21" s="7" t="s">
        <v>59</v>
      </c>
      <c r="C21" s="7" t="s">
        <v>88</v>
      </c>
      <c r="D21" s="7" t="s">
        <v>54</v>
      </c>
      <c r="E21" s="7" t="s">
        <v>55</v>
      </c>
      <c r="F21" s="7" t="s">
        <v>89</v>
      </c>
      <c r="G21" s="8" t="n">
        <v>2300</v>
      </c>
      <c r="H21" s="6" t="s">
        <v>17</v>
      </c>
      <c r="I21" s="7" t="s">
        <v>90</v>
      </c>
      <c r="J21" s="7" t="str">
        <f aca="false">IF(COUNTIFS($D$4:$D$28,D21,$G$4:$G$28,G21)&gt;1,"⚠ DUPLICATE CHECK","OK")</f>
        <v>OK</v>
      </c>
    </row>
    <row r="22" customFormat="false" ht="15" hidden="false" customHeight="false" outlineLevel="0" collapsed="false">
      <c r="A22" s="4" t="n">
        <v>19</v>
      </c>
      <c r="B22" s="4" t="s">
        <v>63</v>
      </c>
      <c r="C22" s="4" t="s">
        <v>91</v>
      </c>
      <c r="D22" s="4" t="s">
        <v>14</v>
      </c>
      <c r="E22" s="4" t="s">
        <v>15</v>
      </c>
      <c r="F22" s="4" t="s">
        <v>92</v>
      </c>
      <c r="G22" s="5" t="n">
        <v>1200</v>
      </c>
      <c r="H22" s="9" t="s">
        <v>93</v>
      </c>
      <c r="I22" s="4"/>
      <c r="J22" s="4" t="str">
        <f aca="false">IF(COUNTIFS($D$4:$D$28,D22,$G$4:$G$28,G22)&gt;1,"⚠ DUPLICATE CHECK","OK")</f>
        <v>⚠ DUPLICATE CHECK</v>
      </c>
    </row>
    <row r="23" customFormat="false" ht="15" hidden="false" customHeight="false" outlineLevel="0" collapsed="false">
      <c r="A23" s="7" t="n">
        <v>20</v>
      </c>
      <c r="B23" s="7" t="s">
        <v>72</v>
      </c>
      <c r="C23" s="7" t="s">
        <v>94</v>
      </c>
      <c r="D23" s="7" t="s">
        <v>37</v>
      </c>
      <c r="E23" s="7" t="s">
        <v>38</v>
      </c>
      <c r="F23" s="7" t="s">
        <v>95</v>
      </c>
      <c r="G23" s="8" t="n">
        <v>2400</v>
      </c>
      <c r="H23" s="9" t="s">
        <v>93</v>
      </c>
      <c r="I23" s="7"/>
      <c r="J23" s="7" t="str">
        <f aca="false">IF(COUNTIFS($D$4:$D$28,D23,$G$4:$G$28,G23)&gt;1,"⚠ DUPLICATE CHECK","OK")</f>
        <v>OK</v>
      </c>
    </row>
    <row r="24" customFormat="false" ht="15" hidden="false" customHeight="false" outlineLevel="0" collapsed="false">
      <c r="A24" s="4" t="n">
        <v>21</v>
      </c>
      <c r="B24" s="4" t="s">
        <v>70</v>
      </c>
      <c r="C24" s="4" t="s">
        <v>96</v>
      </c>
      <c r="D24" s="4" t="s">
        <v>43</v>
      </c>
      <c r="E24" s="4" t="s">
        <v>27</v>
      </c>
      <c r="F24" s="4" t="s">
        <v>97</v>
      </c>
      <c r="G24" s="5" t="n">
        <v>3400</v>
      </c>
      <c r="H24" s="9" t="s">
        <v>93</v>
      </c>
      <c r="I24" s="4"/>
      <c r="J24" s="4" t="str">
        <f aca="false">IF(COUNTIFS($D$4:$D$28,D24,$G$4:$G$28,G24)&gt;1,"⚠ DUPLICATE CHECK","OK")</f>
        <v>OK</v>
      </c>
    </row>
    <row r="25" customFormat="false" ht="15" hidden="false" customHeight="false" outlineLevel="0" collapsed="false">
      <c r="A25" s="7" t="n">
        <v>22</v>
      </c>
      <c r="B25" s="7" t="s">
        <v>78</v>
      </c>
      <c r="C25" s="7" t="s">
        <v>98</v>
      </c>
      <c r="D25" s="7" t="s">
        <v>64</v>
      </c>
      <c r="E25" s="7" t="s">
        <v>27</v>
      </c>
      <c r="F25" s="7" t="s">
        <v>99</v>
      </c>
      <c r="G25" s="8" t="n">
        <v>2800</v>
      </c>
      <c r="H25" s="9" t="s">
        <v>93</v>
      </c>
      <c r="I25" s="7"/>
      <c r="J25" s="7" t="str">
        <f aca="false">IF(COUNTIFS($D$4:$D$28,D25,$G$4:$G$28,G25)&gt;1,"⚠ DUPLICATE CHECK","OK")</f>
        <v>⚠ DUPLICATE CHECK</v>
      </c>
    </row>
    <row r="26" customFormat="false" ht="15" hidden="false" customHeight="false" outlineLevel="0" collapsed="false">
      <c r="A26" s="4" t="n">
        <v>23</v>
      </c>
      <c r="B26" s="4" t="s">
        <v>81</v>
      </c>
      <c r="C26" s="4" t="s">
        <v>100</v>
      </c>
      <c r="D26" s="4" t="s">
        <v>21</v>
      </c>
      <c r="E26" s="4" t="s">
        <v>15</v>
      </c>
      <c r="F26" s="4" t="s">
        <v>101</v>
      </c>
      <c r="G26" s="5" t="n">
        <v>840</v>
      </c>
      <c r="H26" s="9" t="s">
        <v>93</v>
      </c>
      <c r="I26" s="4"/>
      <c r="J26" s="4" t="str">
        <f aca="false">IF(COUNTIFS($D$4:$D$28,D26,$G$4:$G$28,G26)&gt;1,"⚠ DUPLICATE CHECK","OK")</f>
        <v>⚠ DUPLICATE CHECK</v>
      </c>
    </row>
    <row r="27" customFormat="false" ht="15" hidden="false" customHeight="false" outlineLevel="0" collapsed="false">
      <c r="A27" s="7" t="n">
        <v>24</v>
      </c>
      <c r="B27" s="7" t="s">
        <v>79</v>
      </c>
      <c r="C27" s="7" t="s">
        <v>102</v>
      </c>
      <c r="D27" s="7" t="s">
        <v>48</v>
      </c>
      <c r="E27" s="7" t="s">
        <v>49</v>
      </c>
      <c r="F27" s="7" t="s">
        <v>103</v>
      </c>
      <c r="G27" s="8" t="n">
        <v>5200</v>
      </c>
      <c r="H27" s="9" t="s">
        <v>93</v>
      </c>
      <c r="I27" s="7"/>
      <c r="J27" s="7" t="str">
        <f aca="false">IF(COUNTIFS($D$4:$D$28,D27,$G$4:$G$28,G27)&gt;1,"⚠ DUPLICATE CHECK","OK")</f>
        <v>OK</v>
      </c>
    </row>
    <row r="28" customFormat="false" ht="15" hidden="false" customHeight="false" outlineLevel="0" collapsed="false">
      <c r="A28" s="4" t="n">
        <v>25</v>
      </c>
      <c r="B28" s="4" t="s">
        <v>104</v>
      </c>
      <c r="C28" s="4" t="s">
        <v>105</v>
      </c>
      <c r="D28" s="4" t="s">
        <v>14</v>
      </c>
      <c r="E28" s="4" t="s">
        <v>15</v>
      </c>
      <c r="F28" s="4" t="s">
        <v>106</v>
      </c>
      <c r="G28" s="5" t="n">
        <v>1200</v>
      </c>
      <c r="H28" s="9" t="s">
        <v>93</v>
      </c>
      <c r="I28" s="4"/>
      <c r="J28" s="4" t="str">
        <f aca="false">IF(COUNTIFS($D$4:$D$28,D28,$G$4:$G$28,G28)&gt;1,"⚠ DUPLICATE CHECK","OK")</f>
        <v>⚠ DUPLICATE CHECK</v>
      </c>
    </row>
    <row r="29" customFormat="false" ht="15" hidden="false" customHeight="false" outlineLevel="0" collapsed="false">
      <c r="A29" s="10" t="s">
        <v>107</v>
      </c>
      <c r="B29" s="10"/>
      <c r="C29" s="10"/>
      <c r="D29" s="10"/>
      <c r="E29" s="10"/>
      <c r="F29" s="10"/>
      <c r="G29" s="11" t="n">
        <f aca="false">SUM(G4:G28)</f>
        <v>52890</v>
      </c>
    </row>
  </sheetData>
  <mergeCells count="3">
    <mergeCell ref="A1:J1"/>
    <mergeCell ref="A2:J2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3"/>
    <col collapsed="false" customWidth="true" hidden="false" outlineLevel="0" max="5" min="4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109</v>
      </c>
      <c r="E3" s="3" t="s">
        <v>110</v>
      </c>
      <c r="F3" s="3" t="s">
        <v>7</v>
      </c>
      <c r="G3" s="3" t="s">
        <v>8</v>
      </c>
      <c r="H3" s="3" t="s">
        <v>9</v>
      </c>
      <c r="I3" s="3" t="s">
        <v>111</v>
      </c>
      <c r="J3" s="3" t="s">
        <v>112</v>
      </c>
      <c r="K3" s="3" t="s">
        <v>113</v>
      </c>
    </row>
    <row r="4" customFormat="false" ht="15" hidden="false" customHeight="false" outlineLevel="0" collapsed="false">
      <c r="A4" s="4" t="n">
        <v>1</v>
      </c>
      <c r="B4" s="4" t="s">
        <v>114</v>
      </c>
      <c r="C4" s="4" t="s">
        <v>115</v>
      </c>
      <c r="D4" s="4" t="s">
        <v>116</v>
      </c>
      <c r="E4" s="4" t="s">
        <v>117</v>
      </c>
      <c r="F4" s="4" t="s">
        <v>118</v>
      </c>
      <c r="G4" s="5" t="n">
        <v>8500</v>
      </c>
      <c r="H4" s="6" t="s">
        <v>119</v>
      </c>
      <c r="I4" s="4" t="s">
        <v>120</v>
      </c>
      <c r="J4" s="12" t="n">
        <v>27</v>
      </c>
      <c r="K4" s="4" t="str">
        <f aca="false">IF(J4=0,"Current",IF(J4&lt;=30,"1-30 days",IF(J4&lt;=60,"31-60 days","60+ days")))</f>
        <v>1-30 days</v>
      </c>
    </row>
    <row r="5" customFormat="false" ht="15" hidden="false" customHeight="false" outlineLevel="0" collapsed="false">
      <c r="A5" s="7" t="n">
        <v>2</v>
      </c>
      <c r="B5" s="7" t="s">
        <v>121</v>
      </c>
      <c r="C5" s="7" t="s">
        <v>62</v>
      </c>
      <c r="D5" s="7" t="s">
        <v>122</v>
      </c>
      <c r="E5" s="7" t="s">
        <v>123</v>
      </c>
      <c r="F5" s="7" t="s">
        <v>124</v>
      </c>
      <c r="G5" s="8" t="n">
        <v>12000</v>
      </c>
      <c r="H5" s="6" t="s">
        <v>119</v>
      </c>
      <c r="I5" s="7" t="s">
        <v>58</v>
      </c>
      <c r="J5" s="13" t="n">
        <v>27</v>
      </c>
      <c r="K5" s="7" t="str">
        <f aca="false">IF(J5=0,"Current",IF(J5&lt;=30,"1-30 days",IF(J5&lt;=60,"31-60 days","60+ days")))</f>
        <v>1-30 days</v>
      </c>
    </row>
    <row r="6" customFormat="false" ht="15" hidden="false" customHeight="false" outlineLevel="0" collapsed="false">
      <c r="A6" s="4" t="n">
        <v>3</v>
      </c>
      <c r="B6" s="4" t="s">
        <v>24</v>
      </c>
      <c r="C6" s="4" t="s">
        <v>25</v>
      </c>
      <c r="D6" s="4" t="s">
        <v>125</v>
      </c>
      <c r="E6" s="4" t="s">
        <v>126</v>
      </c>
      <c r="F6" s="4" t="s">
        <v>127</v>
      </c>
      <c r="G6" s="5" t="n">
        <v>4200</v>
      </c>
      <c r="H6" s="6" t="s">
        <v>119</v>
      </c>
      <c r="I6" s="4" t="s">
        <v>20</v>
      </c>
      <c r="J6" s="12" t="n">
        <v>28</v>
      </c>
      <c r="K6" s="4" t="str">
        <f aca="false">IF(J6=0,"Current",IF(J6&lt;=30,"1-30 days",IF(J6&lt;=60,"31-60 days","60+ days")))</f>
        <v>1-30 days</v>
      </c>
    </row>
    <row r="7" customFormat="false" ht="15" hidden="false" customHeight="false" outlineLevel="0" collapsed="false">
      <c r="A7" s="7" t="n">
        <v>4</v>
      </c>
      <c r="B7" s="7" t="s">
        <v>128</v>
      </c>
      <c r="C7" s="7" t="s">
        <v>129</v>
      </c>
      <c r="D7" s="7" t="s">
        <v>130</v>
      </c>
      <c r="E7" s="7" t="s">
        <v>131</v>
      </c>
      <c r="F7" s="7" t="s">
        <v>132</v>
      </c>
      <c r="G7" s="8" t="n">
        <v>3800</v>
      </c>
      <c r="H7" s="6" t="s">
        <v>119</v>
      </c>
      <c r="I7" s="7" t="s">
        <v>34</v>
      </c>
      <c r="J7" s="13" t="n">
        <v>27</v>
      </c>
      <c r="K7" s="7" t="str">
        <f aca="false">IF(J7=0,"Current",IF(J7&lt;=30,"1-30 days",IF(J7&lt;=60,"31-60 days","60+ days")))</f>
        <v>1-30 days</v>
      </c>
    </row>
    <row r="8" customFormat="false" ht="15" hidden="false" customHeight="false" outlineLevel="0" collapsed="false">
      <c r="A8" s="4" t="n">
        <v>5</v>
      </c>
      <c r="B8" s="4" t="s">
        <v>41</v>
      </c>
      <c r="C8" s="4" t="s">
        <v>42</v>
      </c>
      <c r="D8" s="4" t="s">
        <v>133</v>
      </c>
      <c r="E8" s="4" t="s">
        <v>134</v>
      </c>
      <c r="F8" s="4" t="s">
        <v>135</v>
      </c>
      <c r="G8" s="5" t="n">
        <v>6500</v>
      </c>
      <c r="H8" s="6" t="s">
        <v>119</v>
      </c>
      <c r="I8" s="4" t="s">
        <v>45</v>
      </c>
      <c r="J8" s="12" t="n">
        <v>28</v>
      </c>
      <c r="K8" s="4" t="str">
        <f aca="false">IF(J8=0,"Current",IF(J8&lt;=30,"1-30 days",IF(J8&lt;=60,"31-60 days","60+ days")))</f>
        <v>1-30 days</v>
      </c>
    </row>
    <row r="9" customFormat="false" ht="15" hidden="false" customHeight="false" outlineLevel="0" collapsed="false">
      <c r="A9" s="7" t="n">
        <v>6</v>
      </c>
      <c r="B9" s="7" t="s">
        <v>52</v>
      </c>
      <c r="C9" s="7" t="s">
        <v>53</v>
      </c>
      <c r="D9" s="7" t="s">
        <v>136</v>
      </c>
      <c r="E9" s="7" t="s">
        <v>137</v>
      </c>
      <c r="F9" s="7" t="s">
        <v>138</v>
      </c>
      <c r="G9" s="8" t="n">
        <v>5200</v>
      </c>
      <c r="H9" s="6" t="s">
        <v>119</v>
      </c>
      <c r="I9" s="7" t="s">
        <v>57</v>
      </c>
      <c r="J9" s="13" t="n">
        <v>29</v>
      </c>
      <c r="K9" s="7" t="str">
        <f aca="false">IF(J9=0,"Current",IF(J9&lt;=30,"1-30 days",IF(J9&lt;=60,"31-60 days","60+ days")))</f>
        <v>1-30 days</v>
      </c>
    </row>
    <row r="10" customFormat="false" ht="15" hidden="false" customHeight="false" outlineLevel="0" collapsed="false">
      <c r="A10" s="4" t="n">
        <v>7</v>
      </c>
      <c r="B10" s="4" t="s">
        <v>115</v>
      </c>
      <c r="C10" s="4" t="s">
        <v>139</v>
      </c>
      <c r="D10" s="4" t="s">
        <v>116</v>
      </c>
      <c r="E10" s="4" t="s">
        <v>140</v>
      </c>
      <c r="F10" s="4" t="s">
        <v>141</v>
      </c>
      <c r="G10" s="5" t="n">
        <v>9200</v>
      </c>
      <c r="H10" s="6" t="s">
        <v>119</v>
      </c>
      <c r="I10" s="4" t="s">
        <v>84</v>
      </c>
      <c r="J10" s="12" t="n">
        <v>28</v>
      </c>
      <c r="K10" s="4" t="str">
        <f aca="false">IF(J10=0,"Current",IF(J10&lt;=30,"1-30 days",IF(J10&lt;=60,"31-60 days","60+ days")))</f>
        <v>1-30 days</v>
      </c>
    </row>
    <row r="11" customFormat="false" ht="15" hidden="false" customHeight="false" outlineLevel="0" collapsed="false">
      <c r="A11" s="7" t="n">
        <v>8</v>
      </c>
      <c r="B11" s="7" t="s">
        <v>23</v>
      </c>
      <c r="C11" s="7" t="s">
        <v>142</v>
      </c>
      <c r="D11" s="7" t="s">
        <v>122</v>
      </c>
      <c r="E11" s="7" t="s">
        <v>143</v>
      </c>
      <c r="F11" s="7" t="s">
        <v>144</v>
      </c>
      <c r="G11" s="8" t="n">
        <v>15000</v>
      </c>
      <c r="H11" s="6" t="s">
        <v>119</v>
      </c>
      <c r="I11" s="7" t="s">
        <v>59</v>
      </c>
      <c r="J11" s="13" t="n">
        <v>28</v>
      </c>
      <c r="K11" s="7" t="str">
        <f aca="false">IF(J11=0,"Current",IF(J11&lt;=30,"1-30 days",IF(J11&lt;=60,"31-60 days","60+ days")))</f>
        <v>1-30 days</v>
      </c>
    </row>
    <row r="12" customFormat="false" ht="15" hidden="false" customHeight="false" outlineLevel="0" collapsed="false">
      <c r="A12" s="4" t="n">
        <v>9</v>
      </c>
      <c r="B12" s="4" t="s">
        <v>25</v>
      </c>
      <c r="C12" s="4" t="s">
        <v>67</v>
      </c>
      <c r="D12" s="4" t="s">
        <v>125</v>
      </c>
      <c r="E12" s="4" t="s">
        <v>145</v>
      </c>
      <c r="F12" s="4" t="s">
        <v>146</v>
      </c>
      <c r="G12" s="5" t="n">
        <v>5800</v>
      </c>
      <c r="H12" s="6" t="s">
        <v>119</v>
      </c>
      <c r="I12" s="4" t="s">
        <v>69</v>
      </c>
      <c r="J12" s="12" t="n">
        <v>28</v>
      </c>
      <c r="K12" s="4" t="str">
        <f aca="false">IF(J12=0,"Current",IF(J12&lt;=30,"1-30 days",IF(J12&lt;=60,"31-60 days","60+ days")))</f>
        <v>1-30 days</v>
      </c>
    </row>
    <row r="13" customFormat="false" ht="15" hidden="false" customHeight="false" outlineLevel="0" collapsed="false">
      <c r="A13" s="7" t="n">
        <v>10</v>
      </c>
      <c r="B13" s="7" t="s">
        <v>40</v>
      </c>
      <c r="C13" s="7" t="s">
        <v>73</v>
      </c>
      <c r="D13" s="7" t="s">
        <v>147</v>
      </c>
      <c r="E13" s="7" t="s">
        <v>148</v>
      </c>
      <c r="F13" s="7" t="s">
        <v>149</v>
      </c>
      <c r="G13" s="8" t="n">
        <v>7400</v>
      </c>
      <c r="H13" s="6" t="s">
        <v>119</v>
      </c>
      <c r="I13" s="7" t="s">
        <v>70</v>
      </c>
      <c r="J13" s="13" t="n">
        <v>29</v>
      </c>
      <c r="K13" s="7" t="str">
        <f aca="false">IF(J13=0,"Current",IF(J13&lt;=30,"1-30 days",IF(J13&lt;=60,"31-60 days","60+ days")))</f>
        <v>1-30 days</v>
      </c>
    </row>
    <row r="14" customFormat="false" ht="15" hidden="false" customHeight="false" outlineLevel="0" collapsed="false">
      <c r="A14" s="4" t="n">
        <v>11</v>
      </c>
      <c r="B14" s="4" t="s">
        <v>150</v>
      </c>
      <c r="C14" s="4" t="s">
        <v>81</v>
      </c>
      <c r="D14" s="4" t="s">
        <v>130</v>
      </c>
      <c r="E14" s="4" t="s">
        <v>151</v>
      </c>
      <c r="F14" s="4" t="s">
        <v>152</v>
      </c>
      <c r="G14" s="5" t="n">
        <v>4100</v>
      </c>
      <c r="H14" s="6" t="s">
        <v>119</v>
      </c>
      <c r="I14" s="4" t="s">
        <v>153</v>
      </c>
      <c r="J14" s="12" t="n">
        <v>28</v>
      </c>
      <c r="K14" s="4" t="str">
        <f aca="false">IF(J14=0,"Current",IF(J14&lt;=30,"1-30 days",IF(J14&lt;=60,"31-60 days","60+ days")))</f>
        <v>1-30 days</v>
      </c>
    </row>
    <row r="15" customFormat="false" ht="15" hidden="false" customHeight="false" outlineLevel="0" collapsed="false">
      <c r="A15" s="7" t="n">
        <v>12</v>
      </c>
      <c r="B15" s="7" t="s">
        <v>47</v>
      </c>
      <c r="C15" s="7" t="s">
        <v>154</v>
      </c>
      <c r="D15" s="7" t="s">
        <v>133</v>
      </c>
      <c r="E15" s="7" t="s">
        <v>155</v>
      </c>
      <c r="F15" s="7" t="s">
        <v>156</v>
      </c>
      <c r="G15" s="8" t="n">
        <v>5900</v>
      </c>
      <c r="H15" s="6" t="s">
        <v>119</v>
      </c>
      <c r="I15" s="7" t="s">
        <v>157</v>
      </c>
      <c r="J15" s="13" t="n">
        <v>28</v>
      </c>
      <c r="K15" s="7" t="str">
        <f aca="false">IF(J15=0,"Current",IF(J15&lt;=30,"1-30 days",IF(J15&lt;=60,"31-60 days","60+ days")))</f>
        <v>1-30 days</v>
      </c>
    </row>
    <row r="16" customFormat="false" ht="15" hidden="false" customHeight="false" outlineLevel="0" collapsed="false">
      <c r="A16" s="4" t="n">
        <v>13</v>
      </c>
      <c r="B16" s="4" t="s">
        <v>61</v>
      </c>
      <c r="C16" s="4" t="s">
        <v>90</v>
      </c>
      <c r="D16" s="4" t="s">
        <v>116</v>
      </c>
      <c r="E16" s="4" t="s">
        <v>158</v>
      </c>
      <c r="F16" s="4" t="s">
        <v>159</v>
      </c>
      <c r="G16" s="5" t="n">
        <v>9800</v>
      </c>
      <c r="H16" s="9" t="s">
        <v>160</v>
      </c>
      <c r="I16" s="4"/>
      <c r="J16" s="12" t="n">
        <v>0</v>
      </c>
      <c r="K16" s="4" t="str">
        <f aca="false">IF(J16=0,"Current",IF(J16&lt;=30,"1-30 days",IF(J16&lt;=60,"31-60 days","60+ days")))</f>
        <v>Current</v>
      </c>
    </row>
    <row r="17" customFormat="false" ht="15" hidden="false" customHeight="false" outlineLevel="0" collapsed="false">
      <c r="A17" s="7" t="n">
        <v>14</v>
      </c>
      <c r="B17" s="7" t="s">
        <v>66</v>
      </c>
      <c r="C17" s="7" t="s">
        <v>161</v>
      </c>
      <c r="D17" s="7" t="s">
        <v>122</v>
      </c>
      <c r="E17" s="7" t="s">
        <v>162</v>
      </c>
      <c r="F17" s="7" t="s">
        <v>163</v>
      </c>
      <c r="G17" s="8" t="n">
        <v>13500</v>
      </c>
      <c r="H17" s="9" t="s">
        <v>160</v>
      </c>
      <c r="I17" s="7"/>
      <c r="J17" s="13" t="n">
        <v>0</v>
      </c>
      <c r="K17" s="7" t="str">
        <f aca="false">IF(J17=0,"Current",IF(J17&lt;=30,"1-30 days",IF(J17&lt;=60,"31-60 days","60+ days")))</f>
        <v>Current</v>
      </c>
    </row>
    <row r="18" customFormat="false" ht="15" hidden="false" customHeight="false" outlineLevel="0" collapsed="false">
      <c r="A18" s="4" t="n">
        <v>15</v>
      </c>
      <c r="B18" s="4" t="s">
        <v>69</v>
      </c>
      <c r="C18" s="4" t="s">
        <v>164</v>
      </c>
      <c r="D18" s="4" t="s">
        <v>136</v>
      </c>
      <c r="E18" s="4" t="s">
        <v>165</v>
      </c>
      <c r="F18" s="4" t="s">
        <v>166</v>
      </c>
      <c r="G18" s="5" t="n">
        <v>6200</v>
      </c>
      <c r="H18" s="9" t="s">
        <v>160</v>
      </c>
      <c r="I18" s="4"/>
      <c r="J18" s="12" t="n">
        <v>0</v>
      </c>
      <c r="K18" s="4" t="str">
        <f aca="false">IF(J18=0,"Current",IF(J18&lt;=30,"1-30 days",IF(J18&lt;=60,"31-60 days","60+ days")))</f>
        <v>Current</v>
      </c>
    </row>
    <row r="19" customFormat="false" ht="15" hidden="false" customHeight="false" outlineLevel="0" collapsed="false">
      <c r="A19" s="7" t="n">
        <v>16</v>
      </c>
      <c r="B19" s="7" t="s">
        <v>70</v>
      </c>
      <c r="C19" s="7" t="s">
        <v>96</v>
      </c>
      <c r="D19" s="7" t="s">
        <v>147</v>
      </c>
      <c r="E19" s="7" t="s">
        <v>167</v>
      </c>
      <c r="F19" s="7" t="s">
        <v>168</v>
      </c>
      <c r="G19" s="8" t="n">
        <v>8900</v>
      </c>
      <c r="H19" s="9" t="s">
        <v>160</v>
      </c>
      <c r="I19" s="7"/>
      <c r="J19" s="13" t="n">
        <v>0</v>
      </c>
      <c r="K19" s="7" t="str">
        <f aca="false">IF(J19=0,"Current",IF(J19&lt;=30,"1-30 days",IF(J19&lt;=60,"31-60 days","60+ days")))</f>
        <v>Current</v>
      </c>
    </row>
    <row r="20" customFormat="false" ht="15" hidden="false" customHeight="false" outlineLevel="0" collapsed="false">
      <c r="A20" s="4" t="n">
        <v>17</v>
      </c>
      <c r="B20" s="4" t="s">
        <v>78</v>
      </c>
      <c r="C20" s="4" t="s">
        <v>98</v>
      </c>
      <c r="D20" s="4" t="s">
        <v>125</v>
      </c>
      <c r="E20" s="4" t="s">
        <v>169</v>
      </c>
      <c r="F20" s="4" t="s">
        <v>170</v>
      </c>
      <c r="G20" s="5" t="n">
        <v>5400</v>
      </c>
      <c r="H20" s="9" t="s">
        <v>160</v>
      </c>
      <c r="I20" s="4"/>
      <c r="J20" s="12" t="n">
        <v>0</v>
      </c>
      <c r="K20" s="4" t="str">
        <f aca="false">IF(J20=0,"Current",IF(J20&lt;=30,"1-30 days",IF(J20&lt;=60,"31-60 days","60+ days")))</f>
        <v>Current</v>
      </c>
    </row>
    <row r="21" customFormat="false" ht="15" hidden="false" customHeight="false" outlineLevel="0" collapsed="false">
      <c r="A21" s="7" t="n">
        <v>18</v>
      </c>
      <c r="B21" s="7" t="s">
        <v>81</v>
      </c>
      <c r="C21" s="7" t="s">
        <v>100</v>
      </c>
      <c r="D21" s="7" t="s">
        <v>130</v>
      </c>
      <c r="E21" s="7" t="s">
        <v>171</v>
      </c>
      <c r="F21" s="7" t="s">
        <v>172</v>
      </c>
      <c r="G21" s="8" t="n">
        <v>4600</v>
      </c>
      <c r="H21" s="14" t="s">
        <v>173</v>
      </c>
      <c r="I21" s="7"/>
      <c r="J21" s="13" t="n">
        <v>33</v>
      </c>
      <c r="K21" s="7" t="str">
        <f aca="false">IF(J21=0,"Current",IF(J21&lt;=30,"1-30 days",IF(J21&lt;=60,"31-60 days","60+ days")))</f>
        <v>31-60 days</v>
      </c>
    </row>
    <row r="22" customFormat="false" ht="15" hidden="false" customHeight="false" outlineLevel="0" collapsed="false">
      <c r="A22" s="4" t="n">
        <v>19</v>
      </c>
      <c r="B22" s="4" t="s">
        <v>79</v>
      </c>
      <c r="C22" s="4" t="s">
        <v>102</v>
      </c>
      <c r="D22" s="4" t="s">
        <v>133</v>
      </c>
      <c r="E22" s="4" t="s">
        <v>174</v>
      </c>
      <c r="F22" s="4" t="s">
        <v>175</v>
      </c>
      <c r="G22" s="5" t="n">
        <v>7100</v>
      </c>
      <c r="H22" s="9" t="s">
        <v>160</v>
      </c>
      <c r="I22" s="4"/>
      <c r="J22" s="12" t="n">
        <v>0</v>
      </c>
      <c r="K22" s="4" t="str">
        <f aca="false">IF(J22=0,"Current",IF(J22&lt;=30,"1-30 days",IF(J22&lt;=60,"31-60 days","60+ days")))</f>
        <v>Current</v>
      </c>
    </row>
    <row r="23" customFormat="false" ht="15" hidden="false" customHeight="false" outlineLevel="0" collapsed="false">
      <c r="A23" s="7" t="n">
        <v>20</v>
      </c>
      <c r="B23" s="7" t="s">
        <v>82</v>
      </c>
      <c r="C23" s="7" t="s">
        <v>176</v>
      </c>
      <c r="D23" s="7" t="s">
        <v>177</v>
      </c>
      <c r="E23" s="7" t="s">
        <v>178</v>
      </c>
      <c r="F23" s="7" t="s">
        <v>179</v>
      </c>
      <c r="G23" s="8" t="n">
        <v>11200</v>
      </c>
      <c r="H23" s="9" t="s">
        <v>160</v>
      </c>
      <c r="I23" s="7"/>
      <c r="J23" s="13" t="n">
        <v>0</v>
      </c>
      <c r="K23" s="7" t="str">
        <f aca="false">IF(J23=0,"Current",IF(J23&lt;=30,"1-30 days",IF(J23&lt;=60,"31-60 days","60+ days")))</f>
        <v>Current</v>
      </c>
    </row>
    <row r="24" customFormat="false" ht="15" hidden="false" customHeight="false" outlineLevel="0" collapsed="false">
      <c r="A24" s="4" t="n">
        <v>21</v>
      </c>
      <c r="B24" s="4" t="s">
        <v>104</v>
      </c>
      <c r="C24" s="4" t="s">
        <v>105</v>
      </c>
      <c r="D24" s="4" t="s">
        <v>116</v>
      </c>
      <c r="E24" s="4" t="s">
        <v>180</v>
      </c>
      <c r="F24" s="4" t="s">
        <v>181</v>
      </c>
      <c r="G24" s="5" t="n">
        <v>3900</v>
      </c>
      <c r="H24" s="9" t="s">
        <v>160</v>
      </c>
      <c r="I24" s="4"/>
      <c r="J24" s="12" t="n">
        <v>0</v>
      </c>
      <c r="K24" s="4" t="str">
        <f aca="false">IF(J24=0,"Current",IF(J24&lt;=30,"1-30 days",IF(J24&lt;=60,"31-60 days","60+ days")))</f>
        <v>Current</v>
      </c>
    </row>
    <row r="25" customFormat="false" ht="15" hidden="false" customHeight="false" outlineLevel="0" collapsed="false">
      <c r="A25" s="7" t="n">
        <v>22</v>
      </c>
      <c r="B25" s="7" t="s">
        <v>182</v>
      </c>
      <c r="C25" s="7" t="s">
        <v>183</v>
      </c>
      <c r="D25" s="7" t="s">
        <v>122</v>
      </c>
      <c r="E25" s="7" t="s">
        <v>184</v>
      </c>
      <c r="F25" s="7" t="s">
        <v>185</v>
      </c>
      <c r="G25" s="8" t="n">
        <v>16500</v>
      </c>
      <c r="H25" s="9" t="s">
        <v>160</v>
      </c>
      <c r="I25" s="7"/>
      <c r="J25" s="13" t="n">
        <v>0</v>
      </c>
      <c r="K25" s="7" t="str">
        <f aca="false">IF(J25=0,"Current",IF(J25&lt;=30,"1-30 days",IF(J25&lt;=60,"31-60 days","60+ days")))</f>
        <v>Current</v>
      </c>
    </row>
    <row r="26" customFormat="false" ht="15" hidden="false" customHeight="false" outlineLevel="0" collapsed="false">
      <c r="A26" s="10" t="s">
        <v>186</v>
      </c>
      <c r="B26" s="10"/>
      <c r="C26" s="10"/>
      <c r="D26" s="10"/>
      <c r="E26" s="10"/>
      <c r="F26" s="10"/>
      <c r="G26" s="11" t="n">
        <f aca="false">SUM(G4:G25)</f>
        <v>174700</v>
      </c>
    </row>
  </sheetData>
  <mergeCells count="3">
    <mergeCell ref="A1:K1"/>
    <mergeCell ref="A2:K2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5" t="s">
        <v>187</v>
      </c>
      <c r="B1" s="15"/>
      <c r="C1" s="15"/>
      <c r="D1" s="15"/>
      <c r="E1" s="15"/>
      <c r="F1" s="15"/>
    </row>
    <row r="2" customFormat="false" ht="21.75" hidden="false" customHeight="true" outlineLevel="0" collapsed="false">
      <c r="A2" s="3" t="s">
        <v>188</v>
      </c>
      <c r="B2" s="3" t="s">
        <v>189</v>
      </c>
      <c r="C2" s="3" t="s">
        <v>190</v>
      </c>
      <c r="D2" s="3" t="s">
        <v>191</v>
      </c>
      <c r="E2" s="3" t="s">
        <v>192</v>
      </c>
      <c r="F2" s="3" t="s">
        <v>193</v>
      </c>
    </row>
    <row r="3" customFormat="false" ht="21.75" hidden="false" customHeight="true" outlineLevel="0" collapsed="false">
      <c r="A3" s="16" t="s">
        <v>194</v>
      </c>
      <c r="B3" s="16" t="s">
        <v>195</v>
      </c>
      <c r="C3" s="16" t="s">
        <v>196</v>
      </c>
      <c r="D3" s="16" t="s">
        <v>197</v>
      </c>
      <c r="E3" s="17" t="s">
        <v>198</v>
      </c>
      <c r="F3" s="16" t="s">
        <v>199</v>
      </c>
    </row>
    <row r="4" customFormat="false" ht="21.75" hidden="false" customHeight="true" outlineLevel="0" collapsed="false">
      <c r="A4" s="18" t="s">
        <v>200</v>
      </c>
      <c r="B4" s="18" t="s">
        <v>201</v>
      </c>
      <c r="C4" s="18" t="s">
        <v>202</v>
      </c>
      <c r="D4" s="18" t="s">
        <v>197</v>
      </c>
      <c r="E4" s="19" t="s">
        <v>198</v>
      </c>
      <c r="F4" s="18" t="s">
        <v>203</v>
      </c>
    </row>
    <row r="5" customFormat="false" ht="21.75" hidden="false" customHeight="true" outlineLevel="0" collapsed="false">
      <c r="A5" s="16" t="s">
        <v>204</v>
      </c>
      <c r="B5" s="16" t="s">
        <v>205</v>
      </c>
      <c r="C5" s="16" t="s">
        <v>206</v>
      </c>
      <c r="D5" s="16" t="s">
        <v>197</v>
      </c>
      <c r="E5" s="20" t="s">
        <v>207</v>
      </c>
      <c r="F5" s="16" t="s">
        <v>208</v>
      </c>
    </row>
    <row r="6" customFormat="false" ht="21.75" hidden="false" customHeight="true" outlineLevel="0" collapsed="false">
      <c r="A6" s="18" t="s">
        <v>209</v>
      </c>
      <c r="B6" s="18" t="s">
        <v>210</v>
      </c>
      <c r="C6" s="18" t="s">
        <v>211</v>
      </c>
      <c r="D6" s="18" t="s">
        <v>197</v>
      </c>
      <c r="E6" s="19" t="s">
        <v>198</v>
      </c>
      <c r="F6" s="18" t="s">
        <v>212</v>
      </c>
    </row>
    <row r="7" customFormat="false" ht="21.75" hidden="false" customHeight="true" outlineLevel="0" collapsed="false">
      <c r="A7" s="16" t="s">
        <v>213</v>
      </c>
      <c r="B7" s="16" t="s">
        <v>214</v>
      </c>
      <c r="C7" s="16" t="s">
        <v>215</v>
      </c>
      <c r="D7" s="16" t="s">
        <v>197</v>
      </c>
      <c r="E7" s="21" t="s">
        <v>216</v>
      </c>
      <c r="F7" s="16" t="s">
        <v>217</v>
      </c>
    </row>
    <row r="8" customFormat="false" ht="21.75" hidden="false" customHeight="true" outlineLevel="0" collapsed="false">
      <c r="A8" s="18" t="s">
        <v>218</v>
      </c>
      <c r="B8" s="18" t="s">
        <v>219</v>
      </c>
      <c r="C8" s="18" t="s">
        <v>220</v>
      </c>
      <c r="D8" s="18" t="s">
        <v>197</v>
      </c>
      <c r="E8" s="22" t="s">
        <v>207</v>
      </c>
      <c r="F8" s="18" t="s">
        <v>221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2026-04-02T14:38:59Z</dcterms:created>
  <dc:creator>openpyxl</dc:creator>
  <dc:description/>
  <dc:language>en-US</dc:language>
  <cp:lastModifiedBy/>
  <dcterms:modified xsi:type="dcterms:W3CDTF">2026-04-02T14:38:59Z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