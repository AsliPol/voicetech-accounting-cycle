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h Flow Dashboard" sheetId="1" state="visible" r:id="rId3"/>
    <sheet name="Scenario 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<sst xmlns="http://schemas.openxmlformats.org/spreadsheetml/2006/main" count="64" uniqueCount="59">
  <si>
    <t xml:space="preserve">VoiceTech Solutions Inc. — Cash Flow &amp; Treasury Dashboard</t>
  </si>
  <si>
    <t xml:space="preserve">Actuals: Jan–Mar 2026  |  Forecast: Apr–Jun 2026  |  Source: VoiceTech Simulated Data</t>
  </si>
  <si>
    <t xml:space="preserve">KPI SUMMARY</t>
  </si>
  <si>
    <t xml:space="preserve">Net Cash Position (Mar)</t>
  </si>
  <si>
    <t xml:space="preserve">Avg Monthly Inflow (Actual)</t>
  </si>
  <si>
    <t xml:space="preserve">Avg Monthly Outflow (Actual)</t>
  </si>
  <si>
    <t xml:space="preserve">Burn Rate (avg/month)</t>
  </si>
  <si>
    <t xml:space="preserve">Q1 Net Income</t>
  </si>
  <si>
    <t xml:space="preserve">Operating Cash Ratio</t>
  </si>
  <si>
    <t xml:space="preserve">CASH FLOW STATEMENT</t>
  </si>
  <si>
    <t xml:space="preserve">Jan 2026</t>
  </si>
  <si>
    <t xml:space="preserve">Feb 2026</t>
  </si>
  <si>
    <t xml:space="preserve">Mar 2026</t>
  </si>
  <si>
    <t xml:space="preserve">Apr 2026 (F)</t>
  </si>
  <si>
    <t xml:space="preserve">May 2026 (F)</t>
  </si>
  <si>
    <t xml:space="preserve">Jun 2026 (F)</t>
  </si>
  <si>
    <t xml:space="preserve">INFLOWS</t>
  </si>
  <si>
    <t xml:space="preserve">  Client Payments</t>
  </si>
  <si>
    <t xml:space="preserve">  AI Voice Licensing</t>
  </si>
  <si>
    <t xml:space="preserve">  Freelancer Marketplace Fees</t>
  </si>
  <si>
    <t xml:space="preserve">  Other Revenue</t>
  </si>
  <si>
    <t xml:space="preserve">Total Inflows</t>
  </si>
  <si>
    <t xml:space="preserve">OUTFLOWS</t>
  </si>
  <si>
    <t xml:space="preserve">  Voice Actor Fees (AP)</t>
  </si>
  <si>
    <t xml:space="preserve">  Software Subscriptions</t>
  </si>
  <si>
    <t xml:space="preserve">  Studio Rentals</t>
  </si>
  <si>
    <t xml:space="preserve">  Marketing &amp; Advertising</t>
  </si>
  <si>
    <t xml:space="preserve">  Cloud Infrastructure</t>
  </si>
  <si>
    <t xml:space="preserve">  Payroll &amp; Admin</t>
  </si>
  <si>
    <t xml:space="preserve">  Other Expenses</t>
  </si>
  <si>
    <t xml:space="preserve">Total Outflows</t>
  </si>
  <si>
    <t xml:space="preserve">NET CASH FLOW</t>
  </si>
  <si>
    <t xml:space="preserve">Opening Balance</t>
  </si>
  <si>
    <t xml:space="preserve">Closing Balance</t>
  </si>
  <si>
    <t xml:space="preserve">VoiceTech Solutions Inc. — Scenario Analysis: Revenue Sensitivity</t>
  </si>
  <si>
    <t xml:space="preserve">What if client revenue drops by 20%? Impact on cash flow, runway, and liquidity.</t>
  </si>
  <si>
    <t xml:space="preserve">ASSUMPTION</t>
  </si>
  <si>
    <t xml:space="preserve">BASE CASE</t>
  </si>
  <si>
    <t xml:space="preserve">SCENARIO: -20% REVENUE</t>
  </si>
  <si>
    <t xml:space="preserve">IMPACT</t>
  </si>
  <si>
    <t xml:space="preserve">Monthly Client Payments (CAD)</t>
  </si>
  <si>
    <t xml:space="preserve">$54,000</t>
  </si>
  <si>
    <t xml:space="preserve">$43,200</t>
  </si>
  <si>
    <t xml:space="preserve">($10,800)</t>
  </si>
  <si>
    <t xml:space="preserve">Monthly Operating Costs (CAD)</t>
  </si>
  <si>
    <t xml:space="preserve">$61,200</t>
  </si>
  <si>
    <t xml:space="preserve">—</t>
  </si>
  <si>
    <t xml:space="preserve">Monthly Net Cash Flow</t>
  </si>
  <si>
    <t xml:space="preserve">$23,800</t>
  </si>
  <si>
    <t xml:space="preserve">$13,000</t>
  </si>
  <si>
    <t xml:space="preserve">Cash Runway (months at current burn)</t>
  </si>
  <si>
    <t xml:space="preserve">N/A</t>
  </si>
  <si>
    <t xml:space="preserve">~14 months</t>
  </si>
  <si>
    <t xml:space="preserve">Reduced from N/A</t>
  </si>
  <si>
    <t xml:space="preserve">Break-even Revenue Required</t>
  </si>
  <si>
    <t xml:space="preserve">Unchanged</t>
  </si>
  <si>
    <t xml:space="preserve">Recommended Action</t>
  </si>
  <si>
    <t xml:space="preserve">Cut marketing 15%, defer hires</t>
  </si>
  <si>
    <t xml:space="preserve">Immediate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</si>
</sst>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404040"/>
      <name val="Arial"/>
      <family val="0"/>
      <charset val="1"/>
    </font>
    <font>
      <b val="true"/>
      <sz val="12"/>
      <color rgb="FF2E75B6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7" min="2" style="1" width="13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</row>
    <row r="5" customFormat="false" ht="32.2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customFormat="false" ht="15" hidden="false" customHeight="true" outlineLevel="0" collapsed="false">
      <c r="A6" s="6" t="n">
        <f aca="false">G27</f>
        <v>268800</v>
      </c>
      <c r="B6" s="6" t="n">
        <f aca="false">AVERAGE(B15:D15)</f>
        <v>85000</v>
      </c>
      <c r="C6" s="6" t="n">
        <f aca="false">AVERAGE(B24:D24)</f>
        <v>61066.6666666667</v>
      </c>
      <c r="D6" s="6" t="n">
        <f aca="false">AVERAGE(B24:D24)</f>
        <v>61066.6666666667</v>
      </c>
      <c r="E6" s="6" t="n">
        <f aca="false">SUM(B25:D25)</f>
        <v>71800</v>
      </c>
      <c r="F6" s="7" t="n">
        <f aca="false">SUM(B15:D15)/SUM(B24:D24)</f>
        <v>1.39192139737991</v>
      </c>
    </row>
    <row r="9" customFormat="false" ht="15" hidden="false" customHeight="true" outlineLevel="0" collapsed="false">
      <c r="A9" s="8" t="s">
        <v>9</v>
      </c>
      <c r="B9" s="9" t="s">
        <v>10</v>
      </c>
      <c r="C9" s="9" t="s">
        <v>11</v>
      </c>
      <c r="D9" s="9" t="s">
        <v>12</v>
      </c>
      <c r="E9" s="8" t="s">
        <v>13</v>
      </c>
      <c r="F9" s="8" t="s">
        <v>14</v>
      </c>
      <c r="G9" s="8" t="s">
        <v>15</v>
      </c>
    </row>
    <row r="10" customFormat="false" ht="15" hidden="false" customHeight="true" outlineLevel="0" collapsed="false">
      <c r="A10" s="10" t="s">
        <v>16</v>
      </c>
    </row>
    <row r="11" customFormat="false" ht="15" hidden="false" customHeight="true" outlineLevel="0" collapsed="false">
      <c r="A11" s="11" t="s">
        <v>17</v>
      </c>
      <c r="B11" s="12" t="n">
        <v>52000</v>
      </c>
      <c r="C11" s="12" t="n">
        <v>58000</v>
      </c>
      <c r="D11" s="12" t="n">
        <v>48000</v>
      </c>
      <c r="E11" s="13" t="n">
        <v>54000</v>
      </c>
      <c r="F11" s="13" t="n">
        <v>58000</v>
      </c>
      <c r="G11" s="13" t="n">
        <v>56000</v>
      </c>
    </row>
    <row r="12" customFormat="false" ht="15" hidden="false" customHeight="true" outlineLevel="0" collapsed="false">
      <c r="A12" s="14" t="s">
        <v>18</v>
      </c>
      <c r="B12" s="15" t="n">
        <v>18000</v>
      </c>
      <c r="C12" s="15" t="n">
        <v>20000</v>
      </c>
      <c r="D12" s="15" t="n">
        <v>16500</v>
      </c>
      <c r="E12" s="16" t="n">
        <v>19000</v>
      </c>
      <c r="F12" s="16" t="n">
        <v>21000</v>
      </c>
      <c r="G12" s="16" t="n">
        <v>20000</v>
      </c>
    </row>
    <row r="13" customFormat="false" ht="15" hidden="false" customHeight="true" outlineLevel="0" collapsed="false">
      <c r="A13" s="11" t="s">
        <v>19</v>
      </c>
      <c r="B13" s="12" t="n">
        <v>9500</v>
      </c>
      <c r="C13" s="12" t="n">
        <v>8800</v>
      </c>
      <c r="D13" s="12" t="n">
        <v>9200</v>
      </c>
      <c r="E13" s="13" t="n">
        <v>9800</v>
      </c>
      <c r="F13" s="13" t="n">
        <v>10000</v>
      </c>
      <c r="G13" s="13" t="n">
        <v>9800</v>
      </c>
    </row>
    <row r="14" customFormat="false" ht="15" hidden="false" customHeight="true" outlineLevel="0" collapsed="false">
      <c r="A14" s="14" t="s">
        <v>20</v>
      </c>
      <c r="B14" s="15" t="n">
        <v>5500</v>
      </c>
      <c r="C14" s="15" t="n">
        <v>5200</v>
      </c>
      <c r="D14" s="15" t="n">
        <v>4300</v>
      </c>
      <c r="E14" s="16" t="n">
        <v>5200</v>
      </c>
      <c r="F14" s="16" t="n">
        <v>5000</v>
      </c>
      <c r="G14" s="16" t="n">
        <v>5200</v>
      </c>
    </row>
    <row r="15" customFormat="false" ht="15" hidden="false" customHeight="true" outlineLevel="0" collapsed="false">
      <c r="A15" s="17" t="s">
        <v>21</v>
      </c>
      <c r="B15" s="18" t="n">
        <v>85000</v>
      </c>
      <c r="C15" s="18" t="n">
        <v>92000</v>
      </c>
      <c r="D15" s="18" t="n">
        <v>78000</v>
      </c>
      <c r="E15" s="18" t="n">
        <v>88000</v>
      </c>
      <c r="F15" s="18" t="n">
        <v>94000</v>
      </c>
      <c r="G15" s="18" t="n">
        <v>91000</v>
      </c>
    </row>
    <row r="16" customFormat="false" ht="15" hidden="false" customHeight="true" outlineLevel="0" collapsed="false">
      <c r="A16" s="10" t="s">
        <v>22</v>
      </c>
    </row>
    <row r="17" customFormat="false" ht="15" hidden="false" customHeight="true" outlineLevel="0" collapsed="false">
      <c r="A17" s="11" t="s">
        <v>23</v>
      </c>
      <c r="B17" s="12" t="n">
        <v>16600</v>
      </c>
      <c r="C17" s="12" t="n">
        <v>16350</v>
      </c>
      <c r="D17" s="12" t="n">
        <v>18850</v>
      </c>
      <c r="E17" s="13" t="n">
        <v>18000</v>
      </c>
      <c r="F17" s="13" t="n">
        <v>19000</v>
      </c>
      <c r="G17" s="13" t="n">
        <v>18000</v>
      </c>
    </row>
    <row r="18" customFormat="false" ht="15" hidden="false" customHeight="true" outlineLevel="0" collapsed="false">
      <c r="A18" s="14" t="s">
        <v>24</v>
      </c>
      <c r="B18" s="15" t="n">
        <v>4560</v>
      </c>
      <c r="C18" s="15" t="n">
        <v>4560</v>
      </c>
      <c r="D18" s="15" t="n">
        <v>4560</v>
      </c>
      <c r="E18" s="16" t="n">
        <v>4800</v>
      </c>
      <c r="F18" s="16" t="n">
        <v>4800</v>
      </c>
      <c r="G18" s="16" t="n">
        <v>4800</v>
      </c>
    </row>
    <row r="19" customFormat="false" ht="15" hidden="false" customHeight="true" outlineLevel="0" collapsed="false">
      <c r="A19" s="11" t="s">
        <v>25</v>
      </c>
      <c r="B19" s="12" t="n">
        <v>4000</v>
      </c>
      <c r="C19" s="12" t="n">
        <v>4200</v>
      </c>
      <c r="D19" s="12" t="n">
        <v>4600</v>
      </c>
      <c r="E19" s="13" t="n">
        <v>4500</v>
      </c>
      <c r="F19" s="13" t="n">
        <v>4700</v>
      </c>
      <c r="G19" s="13" t="n">
        <v>4500</v>
      </c>
    </row>
    <row r="20" customFormat="false" ht="15" hidden="false" customHeight="true" outlineLevel="0" collapsed="false">
      <c r="A20" s="14" t="s">
        <v>26</v>
      </c>
      <c r="B20" s="15" t="n">
        <v>8300</v>
      </c>
      <c r="C20" s="15" t="n">
        <v>7800</v>
      </c>
      <c r="D20" s="15" t="n">
        <v>9000</v>
      </c>
      <c r="E20" s="16" t="n">
        <v>9500</v>
      </c>
      <c r="F20" s="16" t="n">
        <v>9800</v>
      </c>
      <c r="G20" s="16" t="n">
        <v>9200</v>
      </c>
    </row>
    <row r="21" customFormat="false" ht="15" hidden="false" customHeight="true" outlineLevel="0" collapsed="false">
      <c r="A21" s="11" t="s">
        <v>27</v>
      </c>
      <c r="B21" s="12" t="n">
        <v>4100</v>
      </c>
      <c r="C21" s="12" t="n">
        <v>4200</v>
      </c>
      <c r="D21" s="12" t="n">
        <v>4400</v>
      </c>
      <c r="E21" s="13" t="n">
        <v>4500</v>
      </c>
      <c r="F21" s="13" t="n">
        <v>4700</v>
      </c>
      <c r="G21" s="13" t="n">
        <v>4500</v>
      </c>
    </row>
    <row r="22" customFormat="false" ht="15" hidden="false" customHeight="true" outlineLevel="0" collapsed="false">
      <c r="A22" s="14" t="s">
        <v>28</v>
      </c>
      <c r="B22" s="15" t="n">
        <v>20500</v>
      </c>
      <c r="C22" s="15" t="n">
        <v>18000</v>
      </c>
      <c r="D22" s="15" t="n">
        <v>18500</v>
      </c>
      <c r="E22" s="16" t="n">
        <v>20000</v>
      </c>
      <c r="F22" s="16" t="n">
        <v>20500</v>
      </c>
      <c r="G22" s="16" t="n">
        <v>19500</v>
      </c>
    </row>
    <row r="23" customFormat="false" ht="15" hidden="false" customHeight="true" outlineLevel="0" collapsed="false">
      <c r="A23" s="11" t="s">
        <v>29</v>
      </c>
      <c r="B23" s="12" t="n">
        <v>3140</v>
      </c>
      <c r="C23" s="12" t="n">
        <v>3290</v>
      </c>
      <c r="D23" s="12" t="n">
        <v>3690</v>
      </c>
      <c r="E23" s="13" t="n">
        <v>3700</v>
      </c>
      <c r="F23" s="13" t="n">
        <v>3500</v>
      </c>
      <c r="G23" s="13" t="n">
        <v>3500</v>
      </c>
    </row>
    <row r="24" customFormat="false" ht="15" hidden="false" customHeight="true" outlineLevel="0" collapsed="false">
      <c r="A24" s="17" t="s">
        <v>30</v>
      </c>
      <c r="B24" s="18" t="n">
        <v>61200</v>
      </c>
      <c r="C24" s="18" t="n">
        <v>58400</v>
      </c>
      <c r="D24" s="18" t="n">
        <v>63600</v>
      </c>
      <c r="E24" s="18" t="n">
        <v>65000</v>
      </c>
      <c r="F24" s="18" t="n">
        <v>67000</v>
      </c>
      <c r="G24" s="18" t="n">
        <v>64000</v>
      </c>
    </row>
    <row r="25" customFormat="false" ht="15" hidden="false" customHeight="true" outlineLevel="0" collapsed="false">
      <c r="A25" s="17" t="s">
        <v>31</v>
      </c>
      <c r="B25" s="19" t="n">
        <v>23800</v>
      </c>
      <c r="C25" s="19" t="n">
        <v>33600</v>
      </c>
      <c r="D25" s="19" t="n">
        <v>14400</v>
      </c>
      <c r="E25" s="19" t="n">
        <v>23000</v>
      </c>
      <c r="F25" s="19" t="n">
        <v>27000</v>
      </c>
      <c r="G25" s="19" t="n">
        <v>27000</v>
      </c>
    </row>
    <row r="26" customFormat="false" ht="15" hidden="false" customHeight="true" outlineLevel="0" collapsed="false">
      <c r="A26" s="14" t="s">
        <v>32</v>
      </c>
      <c r="B26" s="20" t="n">
        <v>120000</v>
      </c>
      <c r="C26" s="20" t="n">
        <v>143800</v>
      </c>
      <c r="D26" s="20" t="n">
        <v>177400</v>
      </c>
      <c r="E26" s="20" t="n">
        <v>191800</v>
      </c>
      <c r="F26" s="20" t="n">
        <v>214800</v>
      </c>
      <c r="G26" s="20" t="n">
        <v>241800</v>
      </c>
    </row>
    <row r="27" customFormat="false" ht="15" hidden="false" customHeight="true" outlineLevel="0" collapsed="false">
      <c r="A27" s="11" t="s">
        <v>33</v>
      </c>
      <c r="B27" s="20" t="n">
        <v>143800</v>
      </c>
      <c r="C27" s="20" t="n">
        <v>177400</v>
      </c>
      <c r="D27" s="20" t="n">
        <v>191800</v>
      </c>
      <c r="E27" s="20" t="n">
        <v>214800</v>
      </c>
      <c r="F27" s="20" t="n">
        <v>241800</v>
      </c>
      <c r="G27" s="20" t="n">
        <v>268800</v>
      </c>
    </row>
  </sheetData>
  <mergeCells count="3">
    <mergeCell ref="A1:I1"/>
    <mergeCell ref="A2:I2"/>
    <mergeCell ref="A4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0"/>
    <col collapsed="false" customWidth="true" hidden="false" outlineLevel="0" max="3" min="3" style="1" width="26"/>
    <col collapsed="false" customWidth="true" hidden="false" outlineLevel="0" max="4" min="4" style="1" width="22"/>
  </cols>
  <sheetData>
    <row r="1" customFormat="false" ht="27.75" hidden="false" customHeight="true" outlineLevel="0" collapsed="false">
      <c r="A1" s="21" t="s">
        <v>34</v>
      </c>
      <c r="B1" s="21"/>
      <c r="C1" s="21"/>
      <c r="D1" s="21"/>
      <c r="E1" s="21"/>
      <c r="F1" s="21"/>
    </row>
    <row r="2" customFormat="false" ht="15" hidden="false" customHeight="true" outlineLevel="0" collapsed="false">
      <c r="A2" s="22" t="s">
        <v>35</v>
      </c>
      <c r="B2" s="22"/>
      <c r="C2" s="22"/>
      <c r="D2" s="22"/>
      <c r="E2" s="22"/>
      <c r="F2" s="22"/>
    </row>
    <row r="4" customFormat="false" ht="21.75" hidden="false" customHeight="true" outlineLevel="0" collapsed="false">
      <c r="A4" s="9" t="s">
        <v>36</v>
      </c>
      <c r="B4" s="9" t="s">
        <v>37</v>
      </c>
      <c r="C4" s="9" t="s">
        <v>38</v>
      </c>
      <c r="D4" s="9" t="s">
        <v>39</v>
      </c>
    </row>
    <row r="5" customFormat="false" ht="21.75" hidden="false" customHeight="true" outlineLevel="0" collapsed="false">
      <c r="A5" s="23" t="s">
        <v>40</v>
      </c>
      <c r="B5" s="23" t="s">
        <v>41</v>
      </c>
      <c r="C5" s="23" t="s">
        <v>42</v>
      </c>
      <c r="D5" s="24" t="s">
        <v>43</v>
      </c>
    </row>
    <row r="6" customFormat="false" ht="21.75" hidden="false" customHeight="true" outlineLevel="0" collapsed="false">
      <c r="A6" s="25" t="s">
        <v>44</v>
      </c>
      <c r="B6" s="25" t="s">
        <v>45</v>
      </c>
      <c r="C6" s="25" t="s">
        <v>45</v>
      </c>
      <c r="D6" s="26" t="s">
        <v>46</v>
      </c>
    </row>
    <row r="7" customFormat="false" ht="21.75" hidden="false" customHeight="true" outlineLevel="0" collapsed="false">
      <c r="A7" s="23" t="s">
        <v>47</v>
      </c>
      <c r="B7" s="23" t="s">
        <v>48</v>
      </c>
      <c r="C7" s="23" t="s">
        <v>49</v>
      </c>
      <c r="D7" s="24" t="s">
        <v>43</v>
      </c>
    </row>
    <row r="8" customFormat="false" ht="21.75" hidden="false" customHeight="true" outlineLevel="0" collapsed="false">
      <c r="A8" s="25" t="s">
        <v>50</v>
      </c>
      <c r="B8" s="25" t="s">
        <v>51</v>
      </c>
      <c r="C8" s="25" t="s">
        <v>52</v>
      </c>
      <c r="D8" s="26" t="s">
        <v>53</v>
      </c>
    </row>
    <row r="9" customFormat="false" ht="21.75" hidden="false" customHeight="true" outlineLevel="0" collapsed="false">
      <c r="A9" s="23" t="s">
        <v>54</v>
      </c>
      <c r="B9" s="23" t="s">
        <v>45</v>
      </c>
      <c r="C9" s="23" t="s">
        <v>45</v>
      </c>
      <c r="D9" s="27" t="s">
        <v>55</v>
      </c>
    </row>
    <row r="10" customFormat="false" ht="21.75" hidden="false" customHeight="true" outlineLevel="0" collapsed="false">
      <c r="A10" s="25" t="s">
        <v>56</v>
      </c>
      <c r="B10" s="25" t="s">
        <v>46</v>
      </c>
      <c r="C10" s="25" t="s">
        <v>57</v>
      </c>
      <c r="D10" s="26" t="s">
        <v>58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2026-04-02T14:39:57Z</dcterms:created>
  <dc:creator>openpyxl</dc:creator>
  <dc:description/>
  <dc:language>en-US</dc:language>
  <cp:lastModifiedBy/>
  <dcterms:modified xsi:type="dcterms:W3CDTF">2026-04-02T14:42:22Z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